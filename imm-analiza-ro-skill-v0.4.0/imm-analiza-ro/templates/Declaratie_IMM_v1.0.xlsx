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bogdan.sacal\Desktop\IMM Invest\"/>
    </mc:Choice>
  </mc:AlternateContent>
  <xr:revisionPtr revIDLastSave="0" documentId="13_ncr:1_{883BB6A6-B7C1-4750-A503-966F2E6C5F08}" xr6:coauthVersionLast="45" xr6:coauthVersionMax="45" xr10:uidLastSave="{00000000-0000-0000-0000-000000000000}"/>
  <workbookProtection workbookAlgorithmName="SHA-512" workbookHashValue="0a/72TnzHEdm8V9EjzSve6kjAwBTfxwPLHAD1SPqrtEXEMfLSlqOmvvRP4XrlXZgqSOD0EV75yQol368rp93Lg==" workbookSaltValue="S6Y9dMxrArswHdOPTm0QVw==" workbookSpinCount="100000" lockStructure="1"/>
  <bookViews>
    <workbookView xWindow="28680" yWindow="-120" windowWidth="29040" windowHeight="15840" tabRatio="662" activeTab="5" xr2:uid="{00000000-000D-0000-FFFF-FFFF00000000}"/>
  </bookViews>
  <sheets>
    <sheet name="Ipoteze" sheetId="7" r:id="rId1"/>
    <sheet name="Date_partenere" sheetId="3" r:id="rId2"/>
    <sheet name="Date_consolidate" sheetId="5" r:id="rId3"/>
    <sheet name="Date_legate" sheetId="8" r:id="rId4"/>
    <sheet name="Calcul partenere &amp; legate" sheetId="1" r:id="rId5"/>
    <sheet name="Sect A - Intr. partenere" sheetId="4" r:id="rId6"/>
    <sheet name="Tabel B1 - consolidate" sheetId="6" r:id="rId7"/>
    <sheet name="Tabel B2 - legate" sheetId="10" r:id="rId8"/>
  </sheets>
  <definedNames>
    <definedName name="_ftn1" localSheetId="4">'Calcul partenere &amp; legate'!#REF!</definedName>
    <definedName name="_ftn2" localSheetId="4">'Calcul partenere &amp; legate'!#REF!</definedName>
    <definedName name="_ftnref1" localSheetId="6">'Tabel B1 - consolidate'!$C$2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4" i="4"/>
  <c r="G5" i="4"/>
  <c r="G6" i="4"/>
  <c r="G7" i="4"/>
  <c r="G8" i="4"/>
  <c r="G9" i="4"/>
  <c r="G10" i="4"/>
  <c r="G11" i="4"/>
  <c r="G4" i="4"/>
  <c r="E3" i="10"/>
  <c r="E4" i="10"/>
  <c r="E5" i="10"/>
  <c r="E6" i="10"/>
  <c r="E7" i="10"/>
  <c r="E8" i="10"/>
  <c r="E9" i="10"/>
  <c r="E10" i="10"/>
  <c r="E11" i="10"/>
  <c r="E12" i="10"/>
  <c r="D4" i="10"/>
  <c r="D5" i="10"/>
  <c r="D6" i="10"/>
  <c r="D7" i="10"/>
  <c r="D8" i="10"/>
  <c r="D9" i="10"/>
  <c r="D10" i="10"/>
  <c r="D11" i="10"/>
  <c r="D12" i="10"/>
  <c r="D3" i="10"/>
  <c r="C4" i="10"/>
  <c r="C5" i="10"/>
  <c r="C6" i="10"/>
  <c r="C7" i="10"/>
  <c r="C8" i="10"/>
  <c r="C9" i="10"/>
  <c r="C10" i="10"/>
  <c r="C11" i="10"/>
  <c r="C12" i="10"/>
  <c r="C3" i="10"/>
  <c r="B9" i="10"/>
  <c r="B10" i="10"/>
  <c r="B11" i="10"/>
  <c r="B12" i="10"/>
  <c r="B4" i="10"/>
  <c r="B5" i="10"/>
  <c r="B6" i="10"/>
  <c r="B7" i="10"/>
  <c r="B8" i="10"/>
  <c r="B3" i="10"/>
  <c r="F14" i="8"/>
  <c r="F7" i="1" s="1"/>
  <c r="G7" i="1" s="1"/>
  <c r="E14" i="8"/>
  <c r="D7" i="1" s="1"/>
  <c r="E7" i="1" s="1"/>
  <c r="D14" i="8"/>
  <c r="F5" i="1"/>
  <c r="G5" i="1" s="1"/>
  <c r="E4" i="6" s="1"/>
  <c r="D5" i="1"/>
  <c r="E5" i="1" s="1"/>
  <c r="D4" i="6" s="1"/>
  <c r="F5" i="4"/>
  <c r="F6" i="4"/>
  <c r="F7" i="4"/>
  <c r="F8" i="4"/>
  <c r="F9" i="4"/>
  <c r="F10" i="4"/>
  <c r="F11" i="4"/>
  <c r="C5" i="1"/>
  <c r="C4" i="6" s="1"/>
  <c r="J12" i="3"/>
  <c r="H12" i="4" s="1"/>
  <c r="I12" i="3"/>
  <c r="G12" i="4" s="1"/>
  <c r="H12" i="3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C11" i="4"/>
  <c r="C10" i="4"/>
  <c r="C9" i="4"/>
  <c r="C8" i="4"/>
  <c r="C7" i="4"/>
  <c r="C6" i="4"/>
  <c r="C5" i="4"/>
  <c r="C4" i="4"/>
  <c r="F4" i="4"/>
  <c r="F12" i="4" s="1"/>
  <c r="C6" i="1" s="1"/>
  <c r="B4" i="4"/>
  <c r="B2" i="1"/>
  <c r="E13" i="10" l="1"/>
  <c r="D13" i="10"/>
  <c r="D6" i="1"/>
  <c r="D8" i="1" s="1"/>
  <c r="E8" i="1" s="1"/>
  <c r="F6" i="1"/>
  <c r="G6" i="1"/>
  <c r="E6" i="1"/>
  <c r="C13" i="10"/>
  <c r="C7" i="1" s="1"/>
  <c r="F8" i="1"/>
  <c r="G8" i="1" s="1"/>
  <c r="C8" i="1"/>
</calcChain>
</file>

<file path=xl/sharedStrings.xml><?xml version="1.0" encoding="utf-8"?>
<sst xmlns="http://schemas.openxmlformats.org/spreadsheetml/2006/main" count="71" uniqueCount="42">
  <si>
    <t>Numărul mediu anual de salariaţi</t>
  </si>
  <si>
    <t>Cifra de afaceri anuală netă</t>
  </si>
  <si>
    <t>(mii lei / mii euro)</t>
  </si>
  <si>
    <t>Active totale</t>
  </si>
  <si>
    <t>2. Datele cumulate în mod proporţional ale tuturor întreprinderilor partenere, dacă este cazul (se vor introduce datele din secţiunea A)</t>
  </si>
  <si>
    <t>3. Datele cumulate ale tuturor întreprinderilor legate (dacă există) - dacă nu au fost deja incluse prin consolidare la pct. 1 din acest tabel (se vor introduce datele din tabelul B2 din sectiunea B)</t>
  </si>
  <si>
    <t>TOTAL:</t>
  </si>
  <si>
    <t>Exercitiu financiar</t>
  </si>
  <si>
    <r>
      <t>1. Datele întreprinderii solicitante sau cele din situaţiile financiare anuale consolidate (se vor introduce datele din tabelul B1 din sectiunea B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</t>
    </r>
  </si>
  <si>
    <r>
      <t xml:space="preserve">Curs de schimb sf. anului </t>
    </r>
    <r>
      <rPr>
        <sz val="10"/>
        <color theme="1"/>
        <rFont val="Calibri"/>
        <family val="2"/>
        <scheme val="minor"/>
      </rPr>
      <t>(lei/euro)</t>
    </r>
  </si>
  <si>
    <t>(mii lei)</t>
  </si>
  <si>
    <t>Societate analizata</t>
  </si>
  <si>
    <t>ABC SRL</t>
  </si>
  <si>
    <t>Numele sau denumirea întreprinderii</t>
  </si>
  <si>
    <t>Adresa sediului social</t>
  </si>
  <si>
    <t>Cod unic de înregistrare</t>
  </si>
  <si>
    <t>Numele și prenumele președintelui consiliului de administratie, director general sau echivalent</t>
  </si>
  <si>
    <t>2. .................</t>
  </si>
  <si>
    <t>3. .................</t>
  </si>
  <si>
    <t>4. .................</t>
  </si>
  <si>
    <t>5. .................</t>
  </si>
  <si>
    <t>6. .................</t>
  </si>
  <si>
    <t>7. .................</t>
  </si>
  <si>
    <t>8. .................</t>
  </si>
  <si>
    <t>Denumire societate partenera</t>
  </si>
  <si>
    <t>TOTAL</t>
  </si>
  <si>
    <t>Procent parteneriat (%)</t>
  </si>
  <si>
    <t>-</t>
  </si>
  <si>
    <t>Nr.</t>
  </si>
  <si>
    <r>
      <t xml:space="preserve">Cifra de afaceri anuală netă
</t>
    </r>
    <r>
      <rPr>
        <sz val="10"/>
        <color theme="1"/>
        <rFont val="Arial Narrow"/>
        <family val="2"/>
      </rPr>
      <t>(mii lei)</t>
    </r>
  </si>
  <si>
    <r>
      <t xml:space="preserve">Active totale
</t>
    </r>
    <r>
      <rPr>
        <sz val="10"/>
        <color theme="1"/>
        <rFont val="Arial Narrow"/>
        <family val="2"/>
      </rPr>
      <t>(mii lei)</t>
    </r>
  </si>
  <si>
    <t>VALORILE PRELUATE DIN BILANT</t>
  </si>
  <si>
    <r>
      <t>Întreprinderea partener</t>
    </r>
    <r>
      <rPr>
        <b/>
        <sz val="10"/>
        <color rgb="FF000000"/>
        <rFont val="Calibri"/>
        <family val="2"/>
        <scheme val="minor"/>
      </rPr>
      <t>a – date de identificare</t>
    </r>
  </si>
  <si>
    <r>
      <t xml:space="preserve">Cifra de afaceri anuală netă
</t>
    </r>
    <r>
      <rPr>
        <sz val="10"/>
        <color rgb="FF000000"/>
        <rFont val="Calibri"/>
        <family val="2"/>
      </rPr>
      <t>(mii lei)</t>
    </r>
  </si>
  <si>
    <r>
      <t xml:space="preserve">Active totale
</t>
    </r>
    <r>
      <rPr>
        <sz val="10"/>
        <color rgb="FF000000"/>
        <rFont val="Calibri"/>
        <family val="2"/>
      </rPr>
      <t>(mii lei)</t>
    </r>
  </si>
  <si>
    <t>CONSOLIDATE</t>
  </si>
  <si>
    <t>Total:</t>
  </si>
  <si>
    <t>Denumire societate legata</t>
  </si>
  <si>
    <t>Intreprinderea:</t>
  </si>
  <si>
    <r>
      <t xml:space="preserve">Cifra de afaceri anuală netă
</t>
    </r>
    <r>
      <rPr>
        <sz val="10"/>
        <color theme="1"/>
        <rFont val="Calibri"/>
        <family val="2"/>
        <scheme val="minor"/>
      </rPr>
      <t>(mii lei / mii euro)</t>
    </r>
  </si>
  <si>
    <r>
      <t xml:space="preserve">Active totale
</t>
    </r>
    <r>
      <rPr>
        <sz val="10"/>
        <color theme="1"/>
        <rFont val="Calibri"/>
        <family val="2"/>
        <scheme val="minor"/>
      </rPr>
      <t>(mii lei / mii euro)</t>
    </r>
  </si>
  <si>
    <t>imm2020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</si>
</sst>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00"/>
    <numFmt numFmtId="169" formatCode="#,##0.000"/>
  </numFmts>
  <fonts count="1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00"/>
      <name val="Calibri"/>
      <family val="2"/>
    </font>
    <font>
      <sz val="10"/>
      <color rgb="FFFFFF00"/>
      <name val="Calibri"/>
      <family val="2"/>
    </font>
    <font>
      <b/>
      <sz val="10"/>
      <color rgb="FFC00000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C00000"/>
      <name val="Arial Narrow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00"/>
      <name val="Arial Narrow"/>
      <family val="2"/>
    </font>
    <font>
      <sz val="10"/>
      <color rgb="FFC00000"/>
      <name val="Calibri"/>
      <family val="2"/>
    </font>
    <font>
      <sz val="10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0" xfId="0" applyFill="1"/>
    <xf numFmtId="0" fontId="6" fillId="3" borderId="0" xfId="0" applyFont="1" applyFill="1"/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7" fillId="4" borderId="8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0" fillId="5" borderId="8" xfId="0" applyFont="1" applyFill="1" applyBorder="1" applyAlignment="1" applyProtection="1">
      <alignment horizontal="center" vertical="center"/>
      <protection locked="0"/>
    </xf>
    <xf numFmtId="168" fontId="10" fillId="5" borderId="8" xfId="0" applyNumberFormat="1" applyFont="1" applyFill="1" applyBorder="1" applyAlignment="1" applyProtection="1">
      <alignment horizontal="center" vertical="center"/>
      <protection locked="0"/>
    </xf>
    <xf numFmtId="169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4" fontId="1" fillId="2" borderId="5" xfId="0" applyNumberFormat="1" applyFont="1" applyFill="1" applyBorder="1" applyAlignment="1">
      <alignment horizontal="center" vertical="center" wrapText="1"/>
    </xf>
    <xf numFmtId="49" fontId="10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12" fillId="6" borderId="8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4" fontId="13" fillId="5" borderId="8" xfId="0" applyNumberFormat="1" applyFont="1" applyFill="1" applyBorder="1" applyAlignment="1" applyProtection="1">
      <alignment horizontal="center" vertical="center" wrapText="1"/>
      <protection locked="0"/>
    </xf>
    <xf numFmtId="169" fontId="13" fillId="5" borderId="8" xfId="0" applyNumberFormat="1" applyFont="1" applyFill="1" applyBorder="1" applyAlignment="1" applyProtection="1">
      <alignment horizontal="center" vertical="center" wrapText="1"/>
      <protection locked="0"/>
    </xf>
    <xf numFmtId="169" fontId="13" fillId="5" borderId="9" xfId="0" applyNumberFormat="1" applyFont="1" applyFill="1" applyBorder="1" applyAlignment="1" applyProtection="1">
      <alignment horizontal="center" vertical="center" wrapText="1"/>
      <protection locked="0"/>
    </xf>
    <xf numFmtId="10" fontId="13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5" borderId="8" xfId="0" applyFont="1" applyFill="1" applyBorder="1" applyAlignment="1" applyProtection="1">
      <alignment horizontal="left" vertical="center" wrapText="1"/>
      <protection locked="0"/>
    </xf>
    <xf numFmtId="0" fontId="6" fillId="5" borderId="8" xfId="0" applyFont="1" applyFill="1" applyBorder="1" applyAlignment="1" applyProtection="1">
      <alignment horizontal="center" vertical="center" wrapText="1"/>
      <protection locked="0"/>
    </xf>
    <xf numFmtId="4" fontId="6" fillId="0" borderId="8" xfId="0" applyNumberFormat="1" applyFont="1" applyBorder="1" applyAlignment="1">
      <alignment horizontal="center" vertical="center" wrapText="1"/>
    </xf>
    <xf numFmtId="4" fontId="7" fillId="2" borderId="8" xfId="0" applyNumberFormat="1" applyFont="1" applyFill="1" applyBorder="1" applyAlignment="1">
      <alignment horizontal="center" vertical="center" wrapText="1"/>
    </xf>
    <xf numFmtId="0" fontId="6" fillId="0" borderId="8" xfId="0" applyFont="1" applyFill="1" applyBorder="1" applyAlignment="1" applyProtection="1">
      <alignment horizontal="left" vertical="center" wrapText="1"/>
    </xf>
    <xf numFmtId="0" fontId="6" fillId="0" borderId="8" xfId="0" applyFont="1" applyFill="1" applyBorder="1" applyAlignment="1" applyProtection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6" fillId="3" borderId="0" xfId="0" applyFont="1" applyFill="1" applyAlignment="1">
      <alignment vertical="center"/>
    </xf>
    <xf numFmtId="0" fontId="16" fillId="3" borderId="11" xfId="0" applyFont="1" applyFill="1" applyBorder="1" applyAlignment="1">
      <alignment vertical="center"/>
    </xf>
    <xf numFmtId="0" fontId="16" fillId="3" borderId="9" xfId="0" applyFont="1" applyFill="1" applyBorder="1" applyAlignment="1">
      <alignment horizontal="center" vertical="center" wrapText="1"/>
    </xf>
    <xf numFmtId="0" fontId="16" fillId="3" borderId="9" xfId="0" quotePrefix="1" applyFont="1" applyFill="1" applyBorder="1" applyAlignment="1">
      <alignment horizontal="center" vertical="center" wrapText="1"/>
    </xf>
    <xf numFmtId="4" fontId="16" fillId="3" borderId="8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169" fontId="16" fillId="3" borderId="8" xfId="0" applyNumberFormat="1" applyFont="1" applyFill="1" applyBorder="1" applyAlignment="1">
      <alignment horizontal="center" vertical="center" wrapText="1"/>
    </xf>
    <xf numFmtId="169" fontId="9" fillId="3" borderId="5" xfId="0" quotePrefix="1" applyNumberFormat="1" applyFont="1" applyFill="1" applyBorder="1" applyAlignment="1">
      <alignment horizontal="center" vertical="center" wrapText="1"/>
    </xf>
    <xf numFmtId="0" fontId="11" fillId="5" borderId="8" xfId="0" applyFont="1" applyFill="1" applyBorder="1" applyAlignment="1" applyProtection="1">
      <alignment horizontal="left" vertical="center" wrapText="1"/>
      <protection locked="0"/>
    </xf>
    <xf numFmtId="0" fontId="11" fillId="5" borderId="10" xfId="0" applyFont="1" applyFill="1" applyBorder="1" applyAlignment="1" applyProtection="1">
      <alignment horizontal="left" vertical="center" wrapText="1"/>
      <protection locked="0"/>
    </xf>
    <xf numFmtId="0" fontId="1" fillId="2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" fontId="17" fillId="5" borderId="8" xfId="0" applyNumberFormat="1" applyFont="1" applyFill="1" applyBorder="1" applyAlignment="1" applyProtection="1">
      <alignment horizontal="center" vertical="center" wrapText="1"/>
      <protection locked="0"/>
    </xf>
    <xf numFmtId="169" fontId="17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>
      <alignment horizontal="center" vertical="center" wrapText="1"/>
    </xf>
    <xf numFmtId="169" fontId="9" fillId="3" borderId="5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0" fontId="14" fillId="2" borderId="8" xfId="0" applyFont="1" applyFill="1" applyBorder="1" applyAlignment="1">
      <alignment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DA75-4246-46FC-B627-DA6FCC704282}">
  <sheetPr>
    <tabColor rgb="FFFFC000"/>
  </sheetPr>
  <dimension ref="B1:F4"/>
  <sheetViews>
    <sheetView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activeCell="C2" sqref="C2"/>
    </sheetView>
  </sheetViews>
  <sheetFormatPr defaultRowHeight="12.75" x14ac:dyDescent="0.2"/>
  <cols>
    <col min="1" max="1" width="3.5703125" style="13" customWidth="1"/>
    <col min="2" max="2" width="35.42578125" style="13" customWidth="1"/>
    <col min="3" max="3" width="23.7109375" style="13" customWidth="1"/>
    <col min="4" max="16384" width="9.140625" style="13"/>
  </cols>
  <sheetData>
    <row r="1" spans="2:6" s="14" customFormat="1" x14ac:dyDescent="0.25">
      <c r="B1" s="84" t="s">
        <v>41</v>
      </c>
      <c r="D1" s="15"/>
      <c r="F1" s="15"/>
    </row>
    <row r="2" spans="2:6" s="14" customFormat="1" x14ac:dyDescent="0.25">
      <c r="B2" s="16" t="s">
        <v>11</v>
      </c>
      <c r="C2" s="26" t="s">
        <v>12</v>
      </c>
      <c r="D2" s="15"/>
      <c r="F2" s="15"/>
    </row>
    <row r="3" spans="2:6" s="14" customFormat="1" x14ac:dyDescent="0.25">
      <c r="B3" s="16" t="s">
        <v>7</v>
      </c>
      <c r="C3" s="19">
        <v>2019</v>
      </c>
      <c r="D3" s="15"/>
      <c r="F3" s="15"/>
    </row>
    <row r="4" spans="2:6" s="14" customFormat="1" x14ac:dyDescent="0.25">
      <c r="B4" s="16" t="s">
        <v>9</v>
      </c>
      <c r="C4" s="20">
        <v>4.7793000000000001</v>
      </c>
      <c r="D4" s="15"/>
      <c r="F4" s="15"/>
    </row>
  </sheetData>
  <sheetProtection algorithmName="SHA-512" hashValue="F7FqssS1PUlbJ4ULHo6xoN1D3cz5pMpfz3n9M7qiOjzwEA6jslIOcD7lDme3WIh4T2iHHzFLGVCc/HUlGa1L5g==" saltValue="wgSN4s9L16tXac6M0YAUwg==" spinCount="100000" sheet="1" objects="1" scenarios="1" formatColumns="0" formatRows="0" insertRows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3901-8E43-4F5C-9C12-A4686D2BBE14}">
  <sheetPr>
    <tabColor rgb="FFFFFF00"/>
  </sheetPr>
  <dimension ref="B1:J12"/>
  <sheetViews>
    <sheetView workbookViewId="0">
      <pane xSplit="3" ySplit="3" topLeftCell="D4" activePane="bottomRight" state="frozenSplit"/>
      <selection pane="topRight" activeCell="D1" sqref="D1"/>
      <selection pane="bottomLeft" activeCell="A3" sqref="A3"/>
      <selection pane="bottomRight" activeCell="C4" sqref="C4:J11"/>
    </sheetView>
  </sheetViews>
  <sheetFormatPr defaultRowHeight="12.75" x14ac:dyDescent="0.25"/>
  <cols>
    <col min="1" max="1" width="3.28515625" style="28" customWidth="1"/>
    <col min="2" max="2" width="5" style="28" customWidth="1"/>
    <col min="3" max="3" width="21" style="28" bestFit="1" customWidth="1"/>
    <col min="4" max="5" width="21" style="28" customWidth="1"/>
    <col min="6" max="6" width="25.85546875" style="28" customWidth="1"/>
    <col min="7" max="7" width="16.85546875" style="28" customWidth="1"/>
    <col min="8" max="8" width="12" style="28" customWidth="1"/>
    <col min="9" max="10" width="16.42578125" style="28" customWidth="1"/>
    <col min="11" max="16384" width="9.140625" style="28"/>
  </cols>
  <sheetData>
    <row r="1" spans="2:10" ht="13.5" thickBot="1" x14ac:dyDescent="0.3"/>
    <row r="2" spans="2:10" ht="13.5" thickBot="1" x14ac:dyDescent="0.3">
      <c r="H2" s="33" t="s">
        <v>31</v>
      </c>
      <c r="I2" s="34"/>
      <c r="J2" s="35"/>
    </row>
    <row r="3" spans="2:10" s="29" customFormat="1" ht="51" x14ac:dyDescent="0.25">
      <c r="B3" s="27" t="s">
        <v>28</v>
      </c>
      <c r="C3" s="27" t="s">
        <v>24</v>
      </c>
      <c r="D3" s="42" t="s">
        <v>14</v>
      </c>
      <c r="E3" s="42" t="s">
        <v>15</v>
      </c>
      <c r="F3" s="42" t="s">
        <v>16</v>
      </c>
      <c r="G3" s="27" t="s">
        <v>26</v>
      </c>
      <c r="H3" s="32" t="s">
        <v>0</v>
      </c>
      <c r="I3" s="32" t="s">
        <v>29</v>
      </c>
      <c r="J3" s="32" t="s">
        <v>30</v>
      </c>
    </row>
    <row r="4" spans="2:10" x14ac:dyDescent="0.25">
      <c r="B4" s="30">
        <v>1</v>
      </c>
      <c r="C4" s="65"/>
      <c r="D4" s="44"/>
      <c r="E4" s="45"/>
      <c r="F4" s="45"/>
      <c r="G4" s="39"/>
      <c r="H4" s="36"/>
      <c r="I4" s="37"/>
      <c r="J4" s="37"/>
    </row>
    <row r="5" spans="2:10" x14ac:dyDescent="0.25">
      <c r="B5" s="30">
        <v>2</v>
      </c>
      <c r="C5" s="65"/>
      <c r="D5" s="44"/>
      <c r="E5" s="45"/>
      <c r="F5" s="45"/>
      <c r="G5" s="39"/>
      <c r="H5" s="36"/>
      <c r="I5" s="37"/>
      <c r="J5" s="37"/>
    </row>
    <row r="6" spans="2:10" x14ac:dyDescent="0.25">
      <c r="B6" s="30">
        <v>3</v>
      </c>
      <c r="C6" s="65"/>
      <c r="D6" s="44"/>
      <c r="E6" s="45"/>
      <c r="F6" s="45"/>
      <c r="G6" s="39"/>
      <c r="H6" s="36"/>
      <c r="I6" s="37"/>
      <c r="J6" s="37"/>
    </row>
    <row r="7" spans="2:10" x14ac:dyDescent="0.25">
      <c r="B7" s="30">
        <v>4</v>
      </c>
      <c r="C7" s="65"/>
      <c r="D7" s="44"/>
      <c r="E7" s="45"/>
      <c r="F7" s="45"/>
      <c r="G7" s="39"/>
      <c r="H7" s="36"/>
      <c r="I7" s="37"/>
      <c r="J7" s="37"/>
    </row>
    <row r="8" spans="2:10" x14ac:dyDescent="0.25">
      <c r="B8" s="30">
        <v>5</v>
      </c>
      <c r="C8" s="65"/>
      <c r="D8" s="44"/>
      <c r="E8" s="45"/>
      <c r="F8" s="45"/>
      <c r="G8" s="39"/>
      <c r="H8" s="36"/>
      <c r="I8" s="37"/>
      <c r="J8" s="37"/>
    </row>
    <row r="9" spans="2:10" x14ac:dyDescent="0.25">
      <c r="B9" s="30">
        <v>6</v>
      </c>
      <c r="C9" s="65"/>
      <c r="D9" s="44"/>
      <c r="E9" s="45"/>
      <c r="F9" s="45"/>
      <c r="G9" s="39"/>
      <c r="H9" s="36"/>
      <c r="I9" s="38"/>
      <c r="J9" s="37"/>
    </row>
    <row r="10" spans="2:10" x14ac:dyDescent="0.25">
      <c r="B10" s="30">
        <v>7</v>
      </c>
      <c r="C10" s="65"/>
      <c r="D10" s="44"/>
      <c r="E10" s="45"/>
      <c r="F10" s="45"/>
      <c r="G10" s="39"/>
      <c r="H10" s="36"/>
      <c r="I10" s="38"/>
      <c r="J10" s="37"/>
    </row>
    <row r="11" spans="2:10" x14ac:dyDescent="0.25">
      <c r="B11" s="31">
        <v>8</v>
      </c>
      <c r="C11" s="66"/>
      <c r="D11" s="44"/>
      <c r="E11" s="45"/>
      <c r="F11" s="45"/>
      <c r="G11" s="39"/>
      <c r="H11" s="36"/>
      <c r="I11" s="38"/>
      <c r="J11" s="37"/>
    </row>
    <row r="12" spans="2:10" s="56" customFormat="1" x14ac:dyDescent="0.25">
      <c r="B12" s="57"/>
      <c r="C12" s="58" t="s">
        <v>25</v>
      </c>
      <c r="D12" s="58"/>
      <c r="E12" s="58"/>
      <c r="F12" s="58"/>
      <c r="G12" s="59" t="s">
        <v>27</v>
      </c>
      <c r="H12" s="60">
        <f>ROUND($G4*H4,2)+ROUND($G5*H5,2)+ROUND($G6*H6,2)+ROUND($G7*H7,2)+ROUND($G8*H8,2)+ROUND($G9*H9,2)+ROUND($G10*H10,2)+ROUND($G11*H11,2)</f>
        <v>0</v>
      </c>
      <c r="I12" s="63">
        <f>ROUND($G4*I4,3)+ROUND($G5*I5,3)+ROUND($G6*I6,3)+ROUND($G7*I7,3)+ROUND($G8*I8,3)+ROUND($G9*I9,3)+ROUND($G10*I10,3)+ROUND($G11*I11,3)</f>
        <v>0</v>
      </c>
      <c r="J12" s="63">
        <f>ROUND($G4*J4,3)+ROUND($G5*J5,3)+ROUND($G6*J6,3)+ROUND($G7*J7,3)+ROUND($G8*J8,3)+ROUND($G9*J9,3)+ROUND($G10*J10,3)+ROUND($G11*J11,3)</f>
        <v>0</v>
      </c>
    </row>
  </sheetData>
  <sheetProtection algorithmName="SHA-512" hashValue="bnHzCNB2627IXZVJxUiVuUpJLSTR1AltWW38j9AgcE84MMWllhAD1aqhwhkC7fK7it2sOOBrb39T6sK4wErlMA==" saltValue="7XM/zbYK6njkoDmIbV1MaA==" spinCount="100000" sheet="1" objects="1" scenarios="1" formatColumns="0" formatRows="0" insertRows="0" autoFilter="0"/>
  <mergeCells count="1">
    <mergeCell ref="H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74F6-F32B-42CE-BF5C-081C9A9C18CF}">
  <sheetPr>
    <tabColor rgb="FFFFFF00"/>
  </sheetPr>
  <dimension ref="B2:E3"/>
  <sheetViews>
    <sheetView workbookViewId="0">
      <selection activeCell="C3" sqref="C3:E3"/>
    </sheetView>
  </sheetViews>
  <sheetFormatPr defaultRowHeight="15" x14ac:dyDescent="0.25"/>
  <cols>
    <col min="1" max="1" width="4" style="12" customWidth="1"/>
    <col min="2" max="2" width="17.28515625" style="12" customWidth="1"/>
    <col min="3" max="3" width="17.5703125" style="12" customWidth="1"/>
    <col min="4" max="5" width="23.5703125" style="12" customWidth="1"/>
    <col min="6" max="16384" width="9.140625" style="12"/>
  </cols>
  <sheetData>
    <row r="2" spans="2:5" ht="25.5" x14ac:dyDescent="0.25">
      <c r="B2" s="71" t="s">
        <v>35</v>
      </c>
      <c r="C2" s="71" t="s">
        <v>0</v>
      </c>
      <c r="D2" s="67" t="s">
        <v>33</v>
      </c>
      <c r="E2" s="67" t="s">
        <v>34</v>
      </c>
    </row>
    <row r="3" spans="2:5" x14ac:dyDescent="0.25">
      <c r="B3" s="68" t="s">
        <v>25</v>
      </c>
      <c r="C3" s="69"/>
      <c r="D3" s="70"/>
      <c r="E3" s="70"/>
    </row>
  </sheetData>
  <sheetProtection algorithmName="SHA-512" hashValue="3otzPXLBwVyuppD3JreuwRtcVCJ4FM8Lg3EmUqiYW7AlWGvyWutv8l98laA9gXteVwutQU3y7NR4fPfgEdGb3g==" saltValue="LE6UYhDn5QwWecvBwdDJ6A==" spinCount="100000" sheet="1" objects="1" scenarios="1" formatColumns="0" formatRows="0" insertRows="0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EDC3-BDCA-4D28-86C5-4595BF738AB4}">
  <sheetPr>
    <tabColor rgb="FFFFFF00"/>
  </sheetPr>
  <dimension ref="B1:F14"/>
  <sheetViews>
    <sheetView workbookViewId="0">
      <selection activeCell="C4" sqref="C4:F13"/>
    </sheetView>
  </sheetViews>
  <sheetFormatPr defaultRowHeight="12.75" x14ac:dyDescent="0.25"/>
  <cols>
    <col min="1" max="1" width="3.28515625" style="28" customWidth="1"/>
    <col min="2" max="2" width="5" style="28" customWidth="1"/>
    <col min="3" max="3" width="27.85546875" style="28" customWidth="1"/>
    <col min="4" max="4" width="12" style="28" customWidth="1"/>
    <col min="5" max="6" width="16.42578125" style="28" customWidth="1"/>
    <col min="7" max="16384" width="9.140625" style="28"/>
  </cols>
  <sheetData>
    <row r="1" spans="2:6" ht="13.5" thickBot="1" x14ac:dyDescent="0.3"/>
    <row r="2" spans="2:6" ht="13.5" thickBot="1" x14ac:dyDescent="0.3">
      <c r="D2" s="33" t="s">
        <v>31</v>
      </c>
      <c r="E2" s="34"/>
      <c r="F2" s="35"/>
    </row>
    <row r="3" spans="2:6" s="29" customFormat="1" ht="38.25" x14ac:dyDescent="0.25">
      <c r="B3" s="27" t="s">
        <v>28</v>
      </c>
      <c r="C3" s="27" t="s">
        <v>37</v>
      </c>
      <c r="D3" s="32" t="s">
        <v>0</v>
      </c>
      <c r="E3" s="32" t="s">
        <v>29</v>
      </c>
      <c r="F3" s="32" t="s">
        <v>30</v>
      </c>
    </row>
    <row r="4" spans="2:6" x14ac:dyDescent="0.25">
      <c r="B4" s="30">
        <v>1</v>
      </c>
      <c r="C4" s="65"/>
      <c r="D4" s="36"/>
      <c r="E4" s="37"/>
      <c r="F4" s="37"/>
    </row>
    <row r="5" spans="2:6" x14ac:dyDescent="0.25">
      <c r="B5" s="30">
        <v>2</v>
      </c>
      <c r="C5" s="65"/>
      <c r="D5" s="36"/>
      <c r="E5" s="37"/>
      <c r="F5" s="37"/>
    </row>
    <row r="6" spans="2:6" x14ac:dyDescent="0.25">
      <c r="B6" s="30">
        <v>3</v>
      </c>
      <c r="C6" s="65"/>
      <c r="D6" s="36"/>
      <c r="E6" s="37"/>
      <c r="F6" s="37"/>
    </row>
    <row r="7" spans="2:6" x14ac:dyDescent="0.25">
      <c r="B7" s="30">
        <v>4</v>
      </c>
      <c r="C7" s="65"/>
      <c r="D7" s="36"/>
      <c r="E7" s="37"/>
      <c r="F7" s="37"/>
    </row>
    <row r="8" spans="2:6" x14ac:dyDescent="0.25">
      <c r="B8" s="30">
        <v>5</v>
      </c>
      <c r="C8" s="65"/>
      <c r="D8" s="36"/>
      <c r="E8" s="37"/>
      <c r="F8" s="37"/>
    </row>
    <row r="9" spans="2:6" x14ac:dyDescent="0.25">
      <c r="B9" s="30">
        <v>6</v>
      </c>
      <c r="C9" s="65"/>
      <c r="D9" s="36"/>
      <c r="E9" s="38"/>
      <c r="F9" s="37"/>
    </row>
    <row r="10" spans="2:6" x14ac:dyDescent="0.25">
      <c r="B10" s="30">
        <v>7</v>
      </c>
      <c r="C10" s="65"/>
      <c r="D10" s="36"/>
      <c r="E10" s="38"/>
      <c r="F10" s="37"/>
    </row>
    <row r="11" spans="2:6" x14ac:dyDescent="0.25">
      <c r="B11" s="30">
        <v>8</v>
      </c>
      <c r="C11" s="66"/>
      <c r="D11" s="36"/>
      <c r="E11" s="38"/>
      <c r="F11" s="37"/>
    </row>
    <row r="12" spans="2:6" x14ac:dyDescent="0.25">
      <c r="B12" s="30">
        <v>9</v>
      </c>
      <c r="C12" s="65"/>
      <c r="D12" s="36"/>
      <c r="E12" s="38"/>
      <c r="F12" s="37"/>
    </row>
    <row r="13" spans="2:6" x14ac:dyDescent="0.25">
      <c r="B13" s="30">
        <v>10</v>
      </c>
      <c r="C13" s="66"/>
      <c r="D13" s="36"/>
      <c r="E13" s="38"/>
      <c r="F13" s="37"/>
    </row>
    <row r="14" spans="2:6" s="56" customFormat="1" x14ac:dyDescent="0.25">
      <c r="B14" s="57"/>
      <c r="C14" s="58" t="s">
        <v>25</v>
      </c>
      <c r="D14" s="60">
        <f>SUM(D4:D13)</f>
        <v>0</v>
      </c>
      <c r="E14" s="63">
        <f t="shared" ref="E14:F14" si="0">SUM(E4:E13)</f>
        <v>0</v>
      </c>
      <c r="F14" s="63">
        <f t="shared" si="0"/>
        <v>0</v>
      </c>
    </row>
  </sheetData>
  <sheetProtection algorithmName="SHA-512" hashValue="cE520uXyZMIiX/Ik+qCLN4lUE9bea5g1+ZkJ392810OEDNnuVwv4PUlv5GDvdl5MOMMvAaoeNub36vdiZA9OwA==" saltValue="nF9akJy2hKlcWo+XWN06dw==" spinCount="100000" sheet="1" objects="1" scenarios="1" formatColumns="0" formatRows="0" insertRows="0" autoFilter="0"/>
  <mergeCells count="1">
    <mergeCell ref="D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8"/>
  <sheetViews>
    <sheetView workbookViewId="0">
      <pane xSplit="2" ySplit="4" topLeftCell="C5" activePane="bottomRight" state="frozenSplit"/>
      <selection pane="topRight" activeCell="C1" sqref="C1"/>
      <selection pane="bottomLeft" activeCell="A9" sqref="A9"/>
      <selection pane="bottomRight" activeCell="G15" sqref="G15"/>
    </sheetView>
  </sheetViews>
  <sheetFormatPr defaultRowHeight="12.75" x14ac:dyDescent="0.25"/>
  <cols>
    <col min="1" max="1" width="4" style="14" customWidth="1"/>
    <col min="2" max="2" width="40.5703125" style="14" customWidth="1"/>
    <col min="3" max="3" width="20" style="14" customWidth="1"/>
    <col min="4" max="4" width="26.42578125" style="15" hidden="1" customWidth="1"/>
    <col min="5" max="5" width="26.42578125" style="14" customWidth="1"/>
    <col min="6" max="6" width="26.42578125" style="15" hidden="1" customWidth="1"/>
    <col min="7" max="7" width="26.42578125" style="14" customWidth="1"/>
    <col min="8" max="16384" width="9.140625" style="14"/>
  </cols>
  <sheetData>
    <row r="1" spans="2:7" ht="13.5" thickBot="1" x14ac:dyDescent="0.3"/>
    <row r="2" spans="2:7" ht="13.5" thickBot="1" x14ac:dyDescent="0.3">
      <c r="B2" s="1" t="str">
        <f>"Perioada de referinţă: "&amp;Ipoteze!C3</f>
        <v>Perioada de referinţă: 2019</v>
      </c>
      <c r="C2" s="17"/>
      <c r="D2" s="73"/>
      <c r="E2" s="17"/>
      <c r="F2" s="73"/>
      <c r="G2" s="18"/>
    </row>
    <row r="3" spans="2:7" x14ac:dyDescent="0.25">
      <c r="B3" s="8"/>
      <c r="C3" s="10" t="s">
        <v>0</v>
      </c>
      <c r="D3" s="22" t="s">
        <v>1</v>
      </c>
      <c r="E3" s="2" t="s">
        <v>1</v>
      </c>
      <c r="F3" s="22" t="s">
        <v>3</v>
      </c>
      <c r="G3" s="2" t="s">
        <v>3</v>
      </c>
    </row>
    <row r="4" spans="2:7" ht="15.75" customHeight="1" thickBot="1" x14ac:dyDescent="0.3">
      <c r="B4" s="9"/>
      <c r="C4" s="11"/>
      <c r="D4" s="23" t="s">
        <v>10</v>
      </c>
      <c r="E4" s="3" t="s">
        <v>2</v>
      </c>
      <c r="F4" s="23" t="s">
        <v>10</v>
      </c>
      <c r="G4" s="3" t="s">
        <v>2</v>
      </c>
    </row>
    <row r="5" spans="2:7" ht="41.25" thickBot="1" x14ac:dyDescent="0.3">
      <c r="B5" s="4" t="s">
        <v>8</v>
      </c>
      <c r="C5" s="24">
        <f>Date_consolidate!C3</f>
        <v>0</v>
      </c>
      <c r="D5" s="72">
        <f>Date_consolidate!D3</f>
        <v>0</v>
      </c>
      <c r="E5" s="5" t="str">
        <f>TEXT(D5,"#.##0,000")&amp;" mii lei / "&amp;TEXT(D5/Ipoteze!$C$4,"#.##0,000")&amp;" mii euro"</f>
        <v>0,000 mii lei / 0,000 mii euro</v>
      </c>
      <c r="F5" s="72">
        <f>Date_consolidate!E3</f>
        <v>0</v>
      </c>
      <c r="G5" s="5" t="str">
        <f>TEXT(F5,"#.##0,000")&amp;" mii lei / "&amp;TEXT(F5/Ipoteze!$C$4,"#.##0,000")&amp;" mii euro"</f>
        <v>0,000 mii lei / 0,000 mii euro</v>
      </c>
    </row>
    <row r="6" spans="2:7" ht="39" thickBot="1" x14ac:dyDescent="0.3">
      <c r="B6" s="4" t="s">
        <v>4</v>
      </c>
      <c r="C6" s="24">
        <f>'Sect A - Intr. partenere'!F12</f>
        <v>0</v>
      </c>
      <c r="D6" s="64">
        <f>Date_partenere!I12</f>
        <v>0</v>
      </c>
      <c r="E6" s="5" t="str">
        <f>'Sect A - Intr. partenere'!G12</f>
        <v>0,000 mii lei / 0,000 mii euro</v>
      </c>
      <c r="F6" s="64">
        <f>Date_partenere!J12</f>
        <v>0</v>
      </c>
      <c r="G6" s="5" t="str">
        <f>'Sect A - Intr. partenere'!H12</f>
        <v>0,000 mii lei / 0,000 mii euro</v>
      </c>
    </row>
    <row r="7" spans="2:7" ht="64.5" thickBot="1" x14ac:dyDescent="0.3">
      <c r="B7" s="4" t="s">
        <v>5</v>
      </c>
      <c r="C7" s="24">
        <f>'Tabel B2 - legate'!C13</f>
        <v>0</v>
      </c>
      <c r="D7" s="72">
        <f>Date_legate!E14</f>
        <v>0</v>
      </c>
      <c r="E7" s="5" t="str">
        <f>TEXT(D7,"#.##0,000")&amp;" mii lei / "&amp;TEXT(D7/Ipoteze!$C$4,"#.##0,000")&amp;" mii euro"</f>
        <v>0,000 mii lei / 0,000 mii euro</v>
      </c>
      <c r="F7" s="72">
        <f>Date_legate!F14</f>
        <v>0</v>
      </c>
      <c r="G7" s="5" t="str">
        <f>TEXT(F7,"#.##0,000")&amp;" mii lei / "&amp;TEXT(F7/Ipoteze!$C$4,"#.##0,000")&amp;" mii euro"</f>
        <v>0,000 mii lei / 0,000 mii euro</v>
      </c>
    </row>
    <row r="8" spans="2:7" ht="26.25" thickBot="1" x14ac:dyDescent="0.3">
      <c r="B8" s="6" t="s">
        <v>6</v>
      </c>
      <c r="C8" s="25">
        <f>SUM(C5:C7)</f>
        <v>0</v>
      </c>
      <c r="D8" s="21">
        <f>SUM(D5:D7)</f>
        <v>0</v>
      </c>
      <c r="E8" s="7" t="str">
        <f>TEXT(D8,"#.##0,000")&amp;" mii lei / "&amp;TEXT(D8/Ipoteze!$C$4,"#.##0,000")&amp;" mii euro"</f>
        <v>0,000 mii lei / 0,000 mii euro</v>
      </c>
      <c r="F8" s="21">
        <f>SUM(F5:F7)</f>
        <v>0</v>
      </c>
      <c r="G8" s="7" t="str">
        <f>TEXT(F8,"#.##0,000")&amp;" mii lei / "&amp;TEXT(F8/Ipoteze!$C$4,"#.##0,000")&amp;" mii euro"</f>
        <v>0,000 mii lei / 0,000 mii euro</v>
      </c>
    </row>
  </sheetData>
  <sheetProtection algorithmName="SHA-512" hashValue="yX6vgTqOXIla7fIFjulRfjGFyfbYiS1IRi+RRPM86hzQPaijFEmlvkl4PJHGeOoAlsftsIHIux/80Y5Qp8sPNw==" saltValue="Vkt+IST9awRfrUv99th7tQ==" spinCount="100000" sheet="1" objects="1" scenarios="1" formatColumns="0" formatRows="0" insertRows="0" autoFilter="0"/>
  <mergeCells count="2">
    <mergeCell ref="B3:B4"/>
    <mergeCell ref="C3:C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0D94-A5AE-45C1-9796-BF1D97D6F739}">
  <dimension ref="B2:H12"/>
  <sheetViews>
    <sheetView tabSelected="1" workbookViewId="0">
      <pane xSplit="5" ySplit="3" topLeftCell="F4" activePane="bottomRight" state="frozenSplit"/>
      <selection pane="topRight" activeCell="F1" sqref="F1"/>
      <selection pane="bottomLeft" activeCell="A4" sqref="A4"/>
      <selection pane="bottomRight" activeCell="H12" sqref="H12"/>
    </sheetView>
  </sheetViews>
  <sheetFormatPr defaultRowHeight="12.75" x14ac:dyDescent="0.2"/>
  <cols>
    <col min="1" max="1" width="5" style="13" customWidth="1"/>
    <col min="2" max="2" width="18.7109375" style="13" customWidth="1"/>
    <col min="3" max="3" width="29.42578125" style="13" customWidth="1"/>
    <col min="4" max="4" width="18.7109375" style="13" customWidth="1"/>
    <col min="5" max="5" width="31" style="13" customWidth="1"/>
    <col min="6" max="6" width="14.7109375" style="13" customWidth="1"/>
    <col min="7" max="8" width="30.7109375" style="13" customWidth="1"/>
    <col min="9" max="16384" width="9.140625" style="13"/>
  </cols>
  <sheetData>
    <row r="2" spans="2:8" x14ac:dyDescent="0.2">
      <c r="B2" s="40" t="s">
        <v>32</v>
      </c>
      <c r="C2" s="40"/>
      <c r="D2" s="40"/>
      <c r="E2" s="40"/>
      <c r="F2" s="50" t="s">
        <v>0</v>
      </c>
      <c r="G2" s="53" t="s">
        <v>1</v>
      </c>
      <c r="H2" s="51" t="s">
        <v>3</v>
      </c>
    </row>
    <row r="3" spans="2:8" ht="38.25" x14ac:dyDescent="0.2">
      <c r="B3" s="42" t="s">
        <v>13</v>
      </c>
      <c r="C3" s="42" t="s">
        <v>14</v>
      </c>
      <c r="D3" s="42" t="s">
        <v>15</v>
      </c>
      <c r="E3" s="42" t="s">
        <v>16</v>
      </c>
      <c r="F3" s="50"/>
      <c r="G3" s="54" t="s">
        <v>2</v>
      </c>
      <c r="H3" s="52" t="s">
        <v>2</v>
      </c>
    </row>
    <row r="4" spans="2:8" x14ac:dyDescent="0.2">
      <c r="B4" s="43" t="str">
        <f>Date_partenere!B4&amp;". "&amp;Date_partenere!C4</f>
        <v xml:space="preserve">1. </v>
      </c>
      <c r="C4" s="48" t="str">
        <f>IF(Date_partenere!D4="","",Date_partenere!D4)</f>
        <v/>
      </c>
      <c r="D4" s="49" t="str">
        <f>IF(Date_partenere!E4="","",Date_partenere!E4)</f>
        <v/>
      </c>
      <c r="E4" s="49" t="str">
        <f>IF(Date_partenere!F4="","",Date_partenere!F4)</f>
        <v/>
      </c>
      <c r="F4" s="46">
        <f>ROUND(Date_partenere!H4*Date_partenere!G4,2)</f>
        <v>0</v>
      </c>
      <c r="G4" s="55" t="str">
        <f>TEXT(ROUND(Date_partenere!I4*Date_partenere!$G4,3),"#.##0,000")&amp;" mii lei / "&amp;TEXT(ROUND(Date_partenere!I4*Date_partenere!$G4/Ipoteze!$C$4,3),"#.##0,000")&amp;" mii euro"</f>
        <v>0,000 mii lei / 0,000 mii euro</v>
      </c>
      <c r="H4" s="55" t="str">
        <f>TEXT(ROUND(Date_partenere!J4*Date_partenere!$G4,3),"#.##0,000")&amp;" mii lei / "&amp;TEXT(ROUND(Date_partenere!J4*Date_partenere!$G4/Ipoteze!$C$4,3),"#.##0,000")&amp;" mii euro"</f>
        <v>0,000 mii lei / 0,000 mii euro</v>
      </c>
    </row>
    <row r="5" spans="2:8" x14ac:dyDescent="0.2">
      <c r="B5" s="43" t="s">
        <v>17</v>
      </c>
      <c r="C5" s="48" t="str">
        <f>IF(Date_partenere!D5="","",Date_partenere!D5)</f>
        <v/>
      </c>
      <c r="D5" s="49" t="str">
        <f>IF(Date_partenere!E5="","",Date_partenere!E5)</f>
        <v/>
      </c>
      <c r="E5" s="49" t="str">
        <f>IF(Date_partenere!F5="","",Date_partenere!F5)</f>
        <v/>
      </c>
      <c r="F5" s="46">
        <f>ROUND(Date_partenere!H5*Date_partenere!G5,2)</f>
        <v>0</v>
      </c>
      <c r="G5" s="55" t="str">
        <f>TEXT(ROUND(Date_partenere!I5*Date_partenere!$G5,3),"#.##0,000")&amp;" mii lei / "&amp;TEXT(ROUND(Date_partenere!I5*Date_partenere!$G5/Ipoteze!$C$4,3),"#.##0,000")&amp;" mii euro"</f>
        <v>0,000 mii lei / 0,000 mii euro</v>
      </c>
      <c r="H5" s="55" t="str">
        <f>TEXT(ROUND(Date_partenere!J5*Date_partenere!$G5,3),"#.##0,000")&amp;" mii lei / "&amp;TEXT(ROUND(Date_partenere!J5*Date_partenere!$G5/Ipoteze!$C$4,3),"#.##0,000")&amp;" mii euro"</f>
        <v>0,000 mii lei / 0,000 mii euro</v>
      </c>
    </row>
    <row r="6" spans="2:8" x14ac:dyDescent="0.2">
      <c r="B6" s="43" t="s">
        <v>18</v>
      </c>
      <c r="C6" s="48" t="str">
        <f>IF(Date_partenere!D6="","",Date_partenere!D6)</f>
        <v/>
      </c>
      <c r="D6" s="49" t="str">
        <f>IF(Date_partenere!E6="","",Date_partenere!E6)</f>
        <v/>
      </c>
      <c r="E6" s="49" t="str">
        <f>IF(Date_partenere!F6="","",Date_partenere!F6)</f>
        <v/>
      </c>
      <c r="F6" s="46">
        <f>ROUND(Date_partenere!H6*Date_partenere!G6,2)</f>
        <v>0</v>
      </c>
      <c r="G6" s="55" t="str">
        <f>TEXT(ROUND(Date_partenere!I6*Date_partenere!$G6,3),"#.##0,000")&amp;" mii lei / "&amp;TEXT(ROUND(Date_partenere!I6*Date_partenere!$G6/Ipoteze!$C$4,3),"#.##0,000")&amp;" mii euro"</f>
        <v>0,000 mii lei / 0,000 mii euro</v>
      </c>
      <c r="H6" s="55" t="str">
        <f>TEXT(ROUND(Date_partenere!J6*Date_partenere!$G6,3),"#.##0,000")&amp;" mii lei / "&amp;TEXT(ROUND(Date_partenere!J6*Date_partenere!$G6/Ipoteze!$C$4,3),"#.##0,000")&amp;" mii euro"</f>
        <v>0,000 mii lei / 0,000 mii euro</v>
      </c>
    </row>
    <row r="7" spans="2:8" x14ac:dyDescent="0.2">
      <c r="B7" s="43" t="s">
        <v>19</v>
      </c>
      <c r="C7" s="48" t="str">
        <f>IF(Date_partenere!D7="","",Date_partenere!D7)</f>
        <v/>
      </c>
      <c r="D7" s="49" t="str">
        <f>IF(Date_partenere!E7="","",Date_partenere!E7)</f>
        <v/>
      </c>
      <c r="E7" s="49" t="str">
        <f>IF(Date_partenere!F7="","",Date_partenere!F7)</f>
        <v/>
      </c>
      <c r="F7" s="46">
        <f>ROUND(Date_partenere!H7*Date_partenere!G7,2)</f>
        <v>0</v>
      </c>
      <c r="G7" s="55" t="str">
        <f>TEXT(ROUND(Date_partenere!I7*Date_partenere!$G7,3),"#.##0,000")&amp;" mii lei / "&amp;TEXT(ROUND(Date_partenere!I7*Date_partenere!$G7/Ipoteze!$C$4,3),"#.##0,000")&amp;" mii euro"</f>
        <v>0,000 mii lei / 0,000 mii euro</v>
      </c>
      <c r="H7" s="55" t="str">
        <f>TEXT(ROUND(Date_partenere!J7*Date_partenere!$G7,3),"#.##0,000")&amp;" mii lei / "&amp;TEXT(ROUND(Date_partenere!J7*Date_partenere!$G7/Ipoteze!$C$4,3),"#.##0,000")&amp;" mii euro"</f>
        <v>0,000 mii lei / 0,000 mii euro</v>
      </c>
    </row>
    <row r="8" spans="2:8" x14ac:dyDescent="0.2">
      <c r="B8" s="43" t="s">
        <v>20</v>
      </c>
      <c r="C8" s="48" t="str">
        <f>IF(Date_partenere!D8="","",Date_partenere!D8)</f>
        <v/>
      </c>
      <c r="D8" s="49" t="str">
        <f>IF(Date_partenere!E8="","",Date_partenere!E8)</f>
        <v/>
      </c>
      <c r="E8" s="49" t="str">
        <f>IF(Date_partenere!F8="","",Date_partenere!F8)</f>
        <v/>
      </c>
      <c r="F8" s="46">
        <f>ROUND(Date_partenere!H8*Date_partenere!G8,2)</f>
        <v>0</v>
      </c>
      <c r="G8" s="55" t="str">
        <f>TEXT(ROUND(Date_partenere!I8*Date_partenere!$G8,3),"#.##0,000")&amp;" mii lei / "&amp;TEXT(ROUND(Date_partenere!I8*Date_partenere!$G8/Ipoteze!$C$4,3),"#.##0,000")&amp;" mii euro"</f>
        <v>0,000 mii lei / 0,000 mii euro</v>
      </c>
      <c r="H8" s="55" t="str">
        <f>TEXT(ROUND(Date_partenere!J8*Date_partenere!$G8,3),"#.##0,000")&amp;" mii lei / "&amp;TEXT(ROUND(Date_partenere!J8*Date_partenere!$G8/Ipoteze!$C$4,3),"#.##0,000")&amp;" mii euro"</f>
        <v>0,000 mii lei / 0,000 mii euro</v>
      </c>
    </row>
    <row r="9" spans="2:8" x14ac:dyDescent="0.2">
      <c r="B9" s="43" t="s">
        <v>21</v>
      </c>
      <c r="C9" s="48" t="str">
        <f>IF(Date_partenere!D9="","",Date_partenere!D9)</f>
        <v/>
      </c>
      <c r="D9" s="49" t="str">
        <f>IF(Date_partenere!E9="","",Date_partenere!E9)</f>
        <v/>
      </c>
      <c r="E9" s="49" t="str">
        <f>IF(Date_partenere!F9="","",Date_partenere!F9)</f>
        <v/>
      </c>
      <c r="F9" s="46">
        <f>ROUND(Date_partenere!H9*Date_partenere!G9,2)</f>
        <v>0</v>
      </c>
      <c r="G9" s="55" t="str">
        <f>TEXT(ROUND(Date_partenere!I9*Date_partenere!$G9,3),"#.##0,000")&amp;" mii lei / "&amp;TEXT(ROUND(Date_partenere!I9*Date_partenere!$G9/Ipoteze!$C$4,3),"#.##0,000")&amp;" mii euro"</f>
        <v>0,000 mii lei / 0,000 mii euro</v>
      </c>
      <c r="H9" s="55" t="str">
        <f>TEXT(ROUND(Date_partenere!J9*Date_partenere!$G9,3),"#.##0,000")&amp;" mii lei / "&amp;TEXT(ROUND(Date_partenere!J9*Date_partenere!$G9/Ipoteze!$C$4,3),"#.##0,000")&amp;" mii euro"</f>
        <v>0,000 mii lei / 0,000 mii euro</v>
      </c>
    </row>
    <row r="10" spans="2:8" x14ac:dyDescent="0.2">
      <c r="B10" s="43" t="s">
        <v>22</v>
      </c>
      <c r="C10" s="48" t="str">
        <f>IF(Date_partenere!D10="","",Date_partenere!D10)</f>
        <v/>
      </c>
      <c r="D10" s="49" t="str">
        <f>IF(Date_partenere!E10="","",Date_partenere!E10)</f>
        <v/>
      </c>
      <c r="E10" s="49" t="str">
        <f>IF(Date_partenere!F10="","",Date_partenere!F10)</f>
        <v/>
      </c>
      <c r="F10" s="46">
        <f>ROUND(Date_partenere!H10*Date_partenere!G10,2)</f>
        <v>0</v>
      </c>
      <c r="G10" s="55" t="str">
        <f>TEXT(ROUND(Date_partenere!I10*Date_partenere!$G10,3),"#.##0,000")&amp;" mii lei / "&amp;TEXT(ROUND(Date_partenere!I10*Date_partenere!$G10/Ipoteze!$C$4,3),"#.##0,000")&amp;" mii euro"</f>
        <v>0,000 mii lei / 0,000 mii euro</v>
      </c>
      <c r="H10" s="55" t="str">
        <f>TEXT(ROUND(Date_partenere!J10*Date_partenere!$G10,3),"#.##0,000")&amp;" mii lei / "&amp;TEXT(ROUND(Date_partenere!J10*Date_partenere!$G10/Ipoteze!$C$4,3),"#.##0,000")&amp;" mii euro"</f>
        <v>0,000 mii lei / 0,000 mii euro</v>
      </c>
    </row>
    <row r="11" spans="2:8" x14ac:dyDescent="0.2">
      <c r="B11" s="43" t="s">
        <v>23</v>
      </c>
      <c r="C11" s="48" t="str">
        <f>IF(Date_partenere!D11="","",Date_partenere!D11)</f>
        <v/>
      </c>
      <c r="D11" s="49" t="str">
        <f>IF(Date_partenere!E11="","",Date_partenere!E11)</f>
        <v/>
      </c>
      <c r="E11" s="49" t="str">
        <f>IF(Date_partenere!F11="","",Date_partenere!F11)</f>
        <v/>
      </c>
      <c r="F11" s="46">
        <f>ROUND(Date_partenere!H11*Date_partenere!G11,2)</f>
        <v>0</v>
      </c>
      <c r="G11" s="55" t="str">
        <f>TEXT(ROUND(Date_partenere!I11*Date_partenere!$G11,3),"#.##0,000")&amp;" mii lei / "&amp;TEXT(ROUND(Date_partenere!I11*Date_partenere!$G11/Ipoteze!$C$4,3),"#.##0,000")&amp;" mii euro"</f>
        <v>0,000 mii lei / 0,000 mii euro</v>
      </c>
      <c r="H11" s="55" t="str">
        <f>TEXT(ROUND(Date_partenere!J11*Date_partenere!$G11,3),"#.##0,000")&amp;" mii lei / "&amp;TEXT(ROUND(Date_partenere!J11*Date_partenere!$G11/Ipoteze!$C$4,3),"#.##0,000")&amp;" mii euro"</f>
        <v>0,000 mii lei / 0,000 mii euro</v>
      </c>
    </row>
    <row r="12" spans="2:8" x14ac:dyDescent="0.2">
      <c r="B12" s="41" t="s">
        <v>6</v>
      </c>
      <c r="C12" s="41"/>
      <c r="D12" s="41"/>
      <c r="E12" s="41"/>
      <c r="F12" s="47">
        <f>SUM(F4:F11)</f>
        <v>0</v>
      </c>
      <c r="G12" s="62" t="str">
        <f>TEXT(Date_partenere!I12,"#.##0,000")&amp;" mii lei / "&amp;TEXT(ROUND(Date_partenere!I12/Ipoteze!$C$4,3),"#.##0,000")&amp;" mii euro"</f>
        <v>0,000 mii lei / 0,000 mii euro</v>
      </c>
      <c r="H12" s="62" t="str">
        <f>TEXT(Date_partenere!J12,"#.##0,000")&amp;" mii lei / "&amp;TEXT(ROUND(Date_partenere!J12/Ipoteze!$C$4,3),"#.##0,000")&amp;" mii euro"</f>
        <v>0,000 mii lei / 0,000 mii euro</v>
      </c>
    </row>
  </sheetData>
  <sheetProtection algorithmName="SHA-512" hashValue="6g0jHT2WbODAAaAR0AXWG5nRAyILvMVLHlmrQzsiOZe46qQVVvd5ePtzS6VZAVlYDmQR6WdWTy6se4I/x0iMjg==" saltValue="Q1wiNHPNOOQv8Je9XQw17g==" spinCount="100000" sheet="1" objects="1" scenarios="1" formatColumns="0" formatRows="0" insertRows="0" autoFilter="0"/>
  <mergeCells count="3">
    <mergeCell ref="B2:E2"/>
    <mergeCell ref="F2:F3"/>
    <mergeCell ref="B12:E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8BE1-F4A6-4ED3-BA00-8863E8EC9954}">
  <dimension ref="B2:E4"/>
  <sheetViews>
    <sheetView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E4" sqref="E4"/>
    </sheetView>
  </sheetViews>
  <sheetFormatPr defaultRowHeight="15" x14ac:dyDescent="0.25"/>
  <cols>
    <col min="1" max="1" width="4.42578125" style="12" customWidth="1"/>
    <col min="2" max="2" width="9.140625" style="12"/>
    <col min="3" max="3" width="17.42578125" style="12" customWidth="1"/>
    <col min="4" max="5" width="29.85546875" style="12" customWidth="1"/>
    <col min="6" max="16384" width="9.140625" style="12"/>
  </cols>
  <sheetData>
    <row r="2" spans="2:5" x14ac:dyDescent="0.25">
      <c r="B2" s="74"/>
      <c r="C2" s="76" t="s">
        <v>0</v>
      </c>
      <c r="D2" s="79" t="s">
        <v>1</v>
      </c>
      <c r="E2" s="71" t="s">
        <v>3</v>
      </c>
    </row>
    <row r="3" spans="2:5" x14ac:dyDescent="0.25">
      <c r="B3" s="74"/>
      <c r="C3" s="76"/>
      <c r="D3" s="80" t="s">
        <v>2</v>
      </c>
      <c r="E3" s="78" t="s">
        <v>2</v>
      </c>
    </row>
    <row r="4" spans="2:5" x14ac:dyDescent="0.25">
      <c r="B4" s="75" t="s">
        <v>36</v>
      </c>
      <c r="C4" s="81">
        <f>'Calcul partenere &amp; legate'!C5</f>
        <v>0</v>
      </c>
      <c r="D4" s="77" t="str">
        <f>'Calcul partenere &amp; legate'!E5</f>
        <v>0,000 mii lei / 0,000 mii euro</v>
      </c>
      <c r="E4" s="77" t="str">
        <f>'Calcul partenere &amp; legate'!G5</f>
        <v>0,000 mii lei / 0,000 mii euro</v>
      </c>
    </row>
  </sheetData>
  <sheetProtection algorithmName="SHA-512" hashValue="9jQsCVUOMAayQ78jABeJzhiJKnpbPojg8UWCGn82OoEAo0wpvjINSzvpMDjVz/Q8Rum2qEa5KKKatV6QKRE+PQ==" saltValue="nW1rsvMi/3JEVTn2sNjRWA==" spinCount="100000" sheet="1" objects="1" scenarios="1" formatColumns="0" formatRows="0" insertRows="0" autoFilter="0"/>
  <mergeCells count="2">
    <mergeCell ref="B2:B3"/>
    <mergeCell ref="C2:C3"/>
  </mergeCells>
  <hyperlinks>
    <hyperlink ref="C2" location="_ftn1" display="_ftn1" xr:uid="{1DDA8EE9-C6C6-4748-B15D-0FA09CEA409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3AFB-36FD-4C34-A932-5D3B9AEC5DFE}">
  <dimension ref="B2:E13"/>
  <sheetViews>
    <sheetView workbookViewId="0">
      <pane xSplit="2" ySplit="1" topLeftCell="C2" activePane="bottomRight" state="frozenSplit"/>
      <selection pane="topRight" activeCell="F1" sqref="F1"/>
      <selection pane="bottomLeft" activeCell="A4" sqref="A4"/>
      <selection pane="bottomRight" activeCell="B5" sqref="B5"/>
    </sheetView>
  </sheetViews>
  <sheetFormatPr defaultRowHeight="12.75" x14ac:dyDescent="0.2"/>
  <cols>
    <col min="1" max="1" width="5" style="13" customWidth="1"/>
    <col min="2" max="2" width="30" style="13" customWidth="1"/>
    <col min="3" max="3" width="19.42578125" style="13" customWidth="1"/>
    <col min="4" max="5" width="30.7109375" style="13" customWidth="1"/>
    <col min="6" max="16384" width="9.140625" style="13"/>
  </cols>
  <sheetData>
    <row r="2" spans="2:5" ht="25.5" x14ac:dyDescent="0.2">
      <c r="B2" s="83" t="s">
        <v>38</v>
      </c>
      <c r="C2" s="83" t="s">
        <v>0</v>
      </c>
      <c r="D2" s="83" t="s">
        <v>39</v>
      </c>
      <c r="E2" s="83" t="s">
        <v>40</v>
      </c>
    </row>
    <row r="3" spans="2:5" x14ac:dyDescent="0.2">
      <c r="B3" s="43" t="str">
        <f>IF(Date_legate!C4="","",Date_legate!C4)</f>
        <v/>
      </c>
      <c r="C3" s="46">
        <f>ROUND(Date_legate!D4,2)</f>
        <v>0</v>
      </c>
      <c r="D3" s="61" t="str">
        <f>TEXT(Date_legate!E4,"#.##0,000")&amp;" mii lei / "&amp;TEXT(ROUND(Date_legate!E4/Ipoteze!$C$4,3),"#.##0,000")&amp;" mii euro"</f>
        <v>0,000 mii lei / 0,000 mii euro</v>
      </c>
      <c r="E3" s="61" t="str">
        <f>TEXT(Date_legate!F4,"#.##0,000")&amp;" mii lei / "&amp;TEXT(ROUND(Date_legate!F4/Ipoteze!$C$4,3),"#.##0,000")&amp;" mii euro"</f>
        <v>0,000 mii lei / 0,000 mii euro</v>
      </c>
    </row>
    <row r="4" spans="2:5" x14ac:dyDescent="0.2">
      <c r="B4" s="43" t="str">
        <f>IF(Date_legate!C5="","",Date_legate!C5)</f>
        <v/>
      </c>
      <c r="C4" s="46">
        <f>ROUND(Date_legate!D5,2)</f>
        <v>0</v>
      </c>
      <c r="D4" s="61" t="str">
        <f>TEXT(Date_legate!E5,"#.##0,000")&amp;" mii lei / "&amp;TEXT(ROUND(Date_legate!E5/Ipoteze!$C$4,3),"#.##0,000")&amp;" mii euro"</f>
        <v>0,000 mii lei / 0,000 mii euro</v>
      </c>
      <c r="E4" s="61" t="str">
        <f>TEXT(Date_legate!F5,"#.##0,000")&amp;" mii lei / "&amp;TEXT(ROUND(Date_legate!F5/Ipoteze!$C$4,3),"#.##0,000")&amp;" mii euro"</f>
        <v>0,000 mii lei / 0,000 mii euro</v>
      </c>
    </row>
    <row r="5" spans="2:5" x14ac:dyDescent="0.2">
      <c r="B5" s="43" t="str">
        <f>IF(Date_legate!C6="","",Date_legate!C6)</f>
        <v/>
      </c>
      <c r="C5" s="46">
        <f>ROUND(Date_legate!D6,2)</f>
        <v>0</v>
      </c>
      <c r="D5" s="61" t="str">
        <f>TEXT(Date_legate!E6,"#.##0,000")&amp;" mii lei / "&amp;TEXT(ROUND(Date_legate!E6/Ipoteze!$C$4,3),"#.##0,000")&amp;" mii euro"</f>
        <v>0,000 mii lei / 0,000 mii euro</v>
      </c>
      <c r="E5" s="61" t="str">
        <f>TEXT(Date_legate!F6,"#.##0,000")&amp;" mii lei / "&amp;TEXT(ROUND(Date_legate!F6/Ipoteze!$C$4,3),"#.##0,000")&amp;" mii euro"</f>
        <v>0,000 mii lei / 0,000 mii euro</v>
      </c>
    </row>
    <row r="6" spans="2:5" x14ac:dyDescent="0.2">
      <c r="B6" s="43" t="str">
        <f>IF(Date_legate!C7="","",Date_legate!C7)</f>
        <v/>
      </c>
      <c r="C6" s="46">
        <f>ROUND(Date_legate!D7,2)</f>
        <v>0</v>
      </c>
      <c r="D6" s="61" t="str">
        <f>TEXT(Date_legate!E7,"#.##0,000")&amp;" mii lei / "&amp;TEXT(ROUND(Date_legate!E7/Ipoteze!$C$4,3),"#.##0,000")&amp;" mii euro"</f>
        <v>0,000 mii lei / 0,000 mii euro</v>
      </c>
      <c r="E6" s="61" t="str">
        <f>TEXT(Date_legate!F7,"#.##0,000")&amp;" mii lei / "&amp;TEXT(ROUND(Date_legate!F7/Ipoteze!$C$4,3),"#.##0,000")&amp;" mii euro"</f>
        <v>0,000 mii lei / 0,000 mii euro</v>
      </c>
    </row>
    <row r="7" spans="2:5" x14ac:dyDescent="0.2">
      <c r="B7" s="43" t="str">
        <f>IF(Date_legate!C8="","",Date_legate!C8)</f>
        <v/>
      </c>
      <c r="C7" s="46">
        <f>ROUND(Date_legate!D8,2)</f>
        <v>0</v>
      </c>
      <c r="D7" s="61" t="str">
        <f>TEXT(Date_legate!E8,"#.##0,000")&amp;" mii lei / "&amp;TEXT(ROUND(Date_legate!E8/Ipoteze!$C$4,3),"#.##0,000")&amp;" mii euro"</f>
        <v>0,000 mii lei / 0,000 mii euro</v>
      </c>
      <c r="E7" s="61" t="str">
        <f>TEXT(Date_legate!F8,"#.##0,000")&amp;" mii lei / "&amp;TEXT(ROUND(Date_legate!F8/Ipoteze!$C$4,3),"#.##0,000")&amp;" mii euro"</f>
        <v>0,000 mii lei / 0,000 mii euro</v>
      </c>
    </row>
    <row r="8" spans="2:5" x14ac:dyDescent="0.2">
      <c r="B8" s="43" t="str">
        <f>IF(Date_legate!C9="","",Date_legate!C9)</f>
        <v/>
      </c>
      <c r="C8" s="46">
        <f>ROUND(Date_legate!D9,2)</f>
        <v>0</v>
      </c>
      <c r="D8" s="61" t="str">
        <f>TEXT(Date_legate!E9,"#.##0,000")&amp;" mii lei / "&amp;TEXT(ROUND(Date_legate!E9/Ipoteze!$C$4,3),"#.##0,000")&amp;" mii euro"</f>
        <v>0,000 mii lei / 0,000 mii euro</v>
      </c>
      <c r="E8" s="61" t="str">
        <f>TEXT(Date_legate!F9,"#.##0,000")&amp;" mii lei / "&amp;TEXT(ROUND(Date_legate!F9/Ipoteze!$C$4,3),"#.##0,000")&amp;" mii euro"</f>
        <v>0,000 mii lei / 0,000 mii euro</v>
      </c>
    </row>
    <row r="9" spans="2:5" x14ac:dyDescent="0.2">
      <c r="B9" s="43" t="str">
        <f>IF(Date_legate!C10="","",Date_legate!C10)</f>
        <v/>
      </c>
      <c r="C9" s="46">
        <f>ROUND(Date_legate!D10,2)</f>
        <v>0</v>
      </c>
      <c r="D9" s="61" t="str">
        <f>TEXT(Date_legate!E10,"#.##0,000")&amp;" mii lei / "&amp;TEXT(ROUND(Date_legate!E10/Ipoteze!$C$4,3),"#.##0,000")&amp;" mii euro"</f>
        <v>0,000 mii lei / 0,000 mii euro</v>
      </c>
      <c r="E9" s="61" t="str">
        <f>TEXT(Date_legate!F10,"#.##0,000")&amp;" mii lei / "&amp;TEXT(ROUND(Date_legate!F10/Ipoteze!$C$4,3),"#.##0,000")&amp;" mii euro"</f>
        <v>0,000 mii lei / 0,000 mii euro</v>
      </c>
    </row>
    <row r="10" spans="2:5" x14ac:dyDescent="0.2">
      <c r="B10" s="43" t="str">
        <f>IF(Date_legate!C11="","",Date_legate!C11)</f>
        <v/>
      </c>
      <c r="C10" s="46">
        <f>ROUND(Date_legate!D11,2)</f>
        <v>0</v>
      </c>
      <c r="D10" s="61" t="str">
        <f>TEXT(Date_legate!E11,"#.##0,000")&amp;" mii lei / "&amp;TEXT(ROUND(Date_legate!E11/Ipoteze!$C$4,3),"#.##0,000")&amp;" mii euro"</f>
        <v>0,000 mii lei / 0,000 mii euro</v>
      </c>
      <c r="E10" s="61" t="str">
        <f>TEXT(Date_legate!F11,"#.##0,000")&amp;" mii lei / "&amp;TEXT(ROUND(Date_legate!F11/Ipoteze!$C$4,3),"#.##0,000")&amp;" mii euro"</f>
        <v>0,000 mii lei / 0,000 mii euro</v>
      </c>
    </row>
    <row r="11" spans="2:5" x14ac:dyDescent="0.2">
      <c r="B11" s="43" t="str">
        <f>IF(Date_legate!C12="","",Date_legate!C12)</f>
        <v/>
      </c>
      <c r="C11" s="46">
        <f>ROUND(Date_legate!D12,2)</f>
        <v>0</v>
      </c>
      <c r="D11" s="61" t="str">
        <f>TEXT(Date_legate!E12,"#.##0,000")&amp;" mii lei / "&amp;TEXT(ROUND(Date_legate!E12/Ipoteze!$C$4,3),"#.##0,000")&amp;" mii euro"</f>
        <v>0,000 mii lei / 0,000 mii euro</v>
      </c>
      <c r="E11" s="61" t="str">
        <f>TEXT(Date_legate!F12,"#.##0,000")&amp;" mii lei / "&amp;TEXT(ROUND(Date_legate!F12/Ipoteze!$C$4,3),"#.##0,000")&amp;" mii euro"</f>
        <v>0,000 mii lei / 0,000 mii euro</v>
      </c>
    </row>
    <row r="12" spans="2:5" x14ac:dyDescent="0.2">
      <c r="B12" s="43" t="str">
        <f>IF(Date_legate!C13="","",Date_legate!C13)</f>
        <v/>
      </c>
      <c r="C12" s="46">
        <f>ROUND(Date_legate!D13,2)</f>
        <v>0</v>
      </c>
      <c r="D12" s="61" t="str">
        <f>TEXT(Date_legate!E13,"#.##0,000")&amp;" mii lei / "&amp;TEXT(ROUND(Date_legate!E13/Ipoteze!$C$4,3),"#.##0,000")&amp;" mii euro"</f>
        <v>0,000 mii lei / 0,000 mii euro</v>
      </c>
      <c r="E12" s="61" t="str">
        <f>TEXT(Date_legate!F13,"#.##0,000")&amp;" mii lei / "&amp;TEXT(ROUND(Date_legate!F13/Ipoteze!$C$4,3),"#.##0,000")&amp;" mii euro"</f>
        <v>0,000 mii lei / 0,000 mii euro</v>
      </c>
    </row>
    <row r="13" spans="2:5" x14ac:dyDescent="0.2">
      <c r="B13" s="82" t="s">
        <v>6</v>
      </c>
      <c r="C13" s="47">
        <f>SUM(C3:C12)</f>
        <v>0</v>
      </c>
      <c r="D13" s="62" t="str">
        <f>TEXT(Date_legate!E14,"#.##0,000")&amp;" mii lei / "&amp;TEXT(ROUND(Date_legate!E14/Ipoteze!$C$4,3),"#.##0,000")&amp;" mii euro"</f>
        <v>0,000 mii lei / 0,000 mii euro</v>
      </c>
      <c r="E13" s="62" t="str">
        <f>TEXT(Date_legate!F14,"#.##0,000")&amp;" mii lei / "&amp;TEXT(ROUND(Date_legate!F14/Ipoteze!$C$4,3),"#.##0,000")&amp;" mii euro"</f>
        <v>0,000 mii lei / 0,000 mii euro</v>
      </c>
    </row>
  </sheetData>
  <sheetProtection algorithmName="SHA-512" hashValue="MMZn3AIqpxYgExANvzmdWVkrAaEH5MlS6BZ2WnxaqIdA4sRRdfuAJIuVF5QBRVqFSxvL1WFLLISSH4wE2yuSjg==" saltValue="BCbi7M53P4SnPAsUlUoAOw==" spinCount="100000" sheet="1" objects="1" scenarios="1" formatColumns="0" formatRows="0" insertRows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Ipoteze</vt:lpstr>
      <vt:lpstr>Date_partenere</vt:lpstr>
      <vt:lpstr>Date_consolidate</vt:lpstr>
      <vt:lpstr>Date_legate</vt:lpstr>
      <vt:lpstr>Calcul partenere &amp; legate</vt:lpstr>
      <vt:lpstr>Sect A - Intr. partenere</vt:lpstr>
      <vt:lpstr>Tabel B1 - consolidate</vt:lpstr>
      <vt:lpstr>Tabel B2 - legate</vt:lpstr>
      <vt:lpstr>'Tabel B1 - consolidate'!_ftnref1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Sacal</dc:creator>
  <cp:lastModifiedBy>Bogdan Sacal</cp:lastModifiedBy>
  <dcterms:created xsi:type="dcterms:W3CDTF">2015-06-05T18:17:20Z</dcterms:created>
  <dcterms:modified xsi:type="dcterms:W3CDTF">2020-04-23T11:12:22Z</dcterms:modified>
</cp:coreProperties>
</file>